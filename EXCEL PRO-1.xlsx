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15" activeTab="3"/>
  </bookViews>
  <sheets>
    <sheet name="project-1" sheetId="1" r:id="rId1"/>
    <sheet name="Rounding" sheetId="2" r:id="rId2"/>
    <sheet name="autofill" sheetId="3" r:id="rId3"/>
    <sheet name="Sheet4" sheetId="4" r:id="rId4"/>
    <sheet name="Detail1" sheetId="10" r:id="rId5"/>
    <sheet name="Sheet6" sheetId="9" r:id="rId6"/>
    <sheet name="Sheet5" sheetId="8" r:id="rId7"/>
    <sheet name="Names" sheetId="5" r:id="rId8"/>
    <sheet name="Sheet3" sheetId="7" r:id="rId9"/>
    <sheet name="Sheet2" sheetId="6" r:id="rId10"/>
  </sheets>
  <definedNames>
    <definedName name="Slicer_Gender">#N/A</definedName>
    <definedName name="Slicer_House">#N/A</definedName>
    <definedName name="_xlnm._FilterDatabase" localSheetId="0" hidden="1">'project-1'!$B$3:$K$8</definedName>
    <definedName name="_xlnm._FilterDatabase" localSheetId="3" hidden="1">Sheet4!$B$3:$J$17</definedName>
    <definedName name="Slicer_Age">#N/A</definedName>
  </definedNames>
  <calcPr calcId="191029"/>
  <pivotCaches>
    <pivotCache cacheId="0" r:id="rId11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3"/>
        <x14:slicerCache r:id="rId12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gouth</author>
  </authors>
  <commentList>
    <comment ref="J5" authorId="0">
      <text>
        <r>
          <rPr>
            <b/>
            <sz val="9"/>
            <rFont val="Tahoma"/>
            <charset val="134"/>
          </rPr>
          <t>gouth:</t>
        </r>
        <r>
          <rPr>
            <sz val="9"/>
            <rFont val="Tahoma"/>
            <charset val="134"/>
          </rPr>
          <t xml:space="preserve">
Mail ID is not working
</t>
        </r>
      </text>
    </comment>
  </commentList>
</comments>
</file>

<file path=xl/comments2.xml><?xml version="1.0" encoding="utf-8"?>
<comments xmlns="http://schemas.openxmlformats.org/spreadsheetml/2006/main">
  <authors>
    <author>gouth</author>
  </authors>
  <commentList>
    <comment ref="B5" authorId="0">
      <text>
        <r>
          <rPr>
            <b/>
            <sz val="9"/>
            <rFont val="Tahoma"/>
            <charset val="134"/>
          </rPr>
          <t>gouth:</t>
        </r>
        <r>
          <rPr>
            <sz val="9"/>
            <rFont val="Tahoma"/>
            <charset val="134"/>
          </rPr>
          <t xml:space="preserve">
Mail ID is not working
</t>
        </r>
      </text>
    </comment>
    <comment ref="C5" authorId="0">
      <text>
        <r>
          <rPr>
            <b/>
            <sz val="9"/>
            <rFont val="Tahoma"/>
            <charset val="134"/>
          </rPr>
          <t>gouth:</t>
        </r>
        <r>
          <rPr>
            <sz val="9"/>
            <rFont val="Tahoma"/>
            <charset val="134"/>
          </rPr>
          <t xml:space="preserve">
Mail ID is not working
</t>
        </r>
      </text>
    </comment>
  </commentList>
</comments>
</file>

<file path=xl/sharedStrings.xml><?xml version="1.0" encoding="utf-8"?>
<sst xmlns="http://schemas.openxmlformats.org/spreadsheetml/2006/main" count="303" uniqueCount="121">
  <si>
    <t xml:space="preserve">Employee Salary Description </t>
  </si>
  <si>
    <t>S.No.:</t>
  </si>
  <si>
    <t xml:space="preserve">First Name </t>
  </si>
  <si>
    <t>Last Name</t>
  </si>
  <si>
    <t>DOJ</t>
  </si>
  <si>
    <t>Sal-Jan</t>
  </si>
  <si>
    <t>Sal-Feb</t>
  </si>
  <si>
    <t>Sal-Mar</t>
  </si>
  <si>
    <t>Total</t>
  </si>
  <si>
    <t>avg</t>
  </si>
  <si>
    <t>full name</t>
  </si>
  <si>
    <t>gouthami</t>
  </si>
  <si>
    <t>vadla</t>
  </si>
  <si>
    <t>sai</t>
  </si>
  <si>
    <t>vadithya</t>
  </si>
  <si>
    <t>priya</t>
  </si>
  <si>
    <t>veerapogu</t>
  </si>
  <si>
    <t>mounika</t>
  </si>
  <si>
    <t>velupula</t>
  </si>
  <si>
    <t>preethi</t>
  </si>
  <si>
    <t>ala</t>
  </si>
  <si>
    <t>Rounding</t>
  </si>
  <si>
    <t>Numbers</t>
  </si>
  <si>
    <t>Round</t>
  </si>
  <si>
    <t>Roundup</t>
  </si>
  <si>
    <t>Rounddown</t>
  </si>
  <si>
    <t>Months</t>
  </si>
  <si>
    <t>Days</t>
  </si>
  <si>
    <t>january</t>
  </si>
  <si>
    <t>jan</t>
  </si>
  <si>
    <t>Monday</t>
  </si>
  <si>
    <t>Mon</t>
  </si>
  <si>
    <t>february</t>
  </si>
  <si>
    <t>feb</t>
  </si>
  <si>
    <t>Tuesday</t>
  </si>
  <si>
    <t>Tue</t>
  </si>
  <si>
    <t>march</t>
  </si>
  <si>
    <t>mar</t>
  </si>
  <si>
    <t>Wednesday</t>
  </si>
  <si>
    <t>Wed</t>
  </si>
  <si>
    <t>april</t>
  </si>
  <si>
    <t>apr</t>
  </si>
  <si>
    <t>Thursday</t>
  </si>
  <si>
    <t>Thu</t>
  </si>
  <si>
    <t>may</t>
  </si>
  <si>
    <t>Friday</t>
  </si>
  <si>
    <t>Fri</t>
  </si>
  <si>
    <t>june</t>
  </si>
  <si>
    <t>jun</t>
  </si>
  <si>
    <t>Saturday</t>
  </si>
  <si>
    <t>Sat</t>
  </si>
  <si>
    <t>july</t>
  </si>
  <si>
    <t>jul</t>
  </si>
  <si>
    <t>Sunday</t>
  </si>
  <si>
    <t>Sun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</si>
  <si>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</si>
  <si>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</si>
  <si>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</si>
  <si>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</si>
  <si>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</si>
  <si>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</si>
  <si>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</si>
  <si>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</si>
  <si>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</si>
  <si>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</si>
  <si>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RNM School Data</t>
  </si>
  <si>
    <t>Name</t>
  </si>
  <si>
    <t>Gender</t>
  </si>
  <si>
    <t>Age</t>
  </si>
  <si>
    <t>Class</t>
  </si>
  <si>
    <t>House</t>
  </si>
  <si>
    <t>UnitTest-1</t>
  </si>
  <si>
    <t>UnitTest2</t>
  </si>
  <si>
    <t>Final Test</t>
  </si>
  <si>
    <t>email</t>
  </si>
  <si>
    <t>Arjun</t>
  </si>
  <si>
    <t>M</t>
  </si>
  <si>
    <t>Vayu</t>
  </si>
  <si>
    <t>Arjun@mail.com</t>
  </si>
  <si>
    <t>Madhav</t>
  </si>
  <si>
    <t>Jal</t>
  </si>
  <si>
    <t>Madhav@mail.com</t>
  </si>
  <si>
    <t>vrinda</t>
  </si>
  <si>
    <t>F</t>
  </si>
  <si>
    <t>Agni</t>
  </si>
  <si>
    <t>vrinda@mail.com</t>
  </si>
  <si>
    <t>Indu</t>
  </si>
  <si>
    <t>Indu@mail.com</t>
  </si>
  <si>
    <t>Gopal</t>
  </si>
  <si>
    <t>Bhoomi</t>
  </si>
  <si>
    <t>Gopal@mail.com</t>
  </si>
  <si>
    <t>Keshav</t>
  </si>
  <si>
    <t>Keshav@mail.com</t>
  </si>
  <si>
    <t>Champa</t>
  </si>
  <si>
    <t>Champa@mail.com</t>
  </si>
  <si>
    <t>Abhi</t>
  </si>
  <si>
    <t>Abhimanyu@mail.com</t>
  </si>
  <si>
    <t>Gopi</t>
  </si>
  <si>
    <t>Gopi@mail.com</t>
  </si>
  <si>
    <t>Sudevi</t>
  </si>
  <si>
    <t>Sudevi@mail.com</t>
  </si>
  <si>
    <t>visakha</t>
  </si>
  <si>
    <t>visakha@mail.com</t>
  </si>
  <si>
    <t>Hari</t>
  </si>
  <si>
    <t>Hari@mail.com</t>
  </si>
  <si>
    <t>RNM</t>
  </si>
  <si>
    <t>RNM@mail.com</t>
  </si>
  <si>
    <t>Lalitha</t>
  </si>
  <si>
    <t>Lalitha@mail.com</t>
  </si>
  <si>
    <t>Details for Sum of Final Test - Gender: M, House: Bhoomi</t>
  </si>
  <si>
    <t>Sum of Final Test</t>
  </si>
  <si>
    <t>VLOOKUP</t>
  </si>
  <si>
    <t xml:space="preserve">halfyearly </t>
  </si>
  <si>
    <t>final test</t>
  </si>
  <si>
    <t>Vrinda</t>
  </si>
  <si>
    <t>Grades</t>
  </si>
  <si>
    <t>Grade</t>
  </si>
  <si>
    <t>A</t>
  </si>
  <si>
    <t>B</t>
  </si>
  <si>
    <t>c</t>
  </si>
  <si>
    <t>Abhimanyu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</si>
</sst>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dd/mm/yyyy;@"/>
  </numFmts>
  <fonts count="29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 tint="-0.0499893185216834"/>
      <name val="Calibri"/>
      <charset val="134"/>
      <scheme val="minor"/>
    </font>
    <font>
      <b/>
      <sz val="11"/>
      <color theme="1"/>
      <name val="Bell MT"/>
      <charset val="134"/>
    </font>
    <font>
      <b/>
      <i/>
      <sz val="11"/>
      <color theme="1"/>
      <name val="Aptos Narrow"/>
      <charset val="134"/>
    </font>
    <font>
      <b/>
      <i/>
      <sz val="18"/>
      <color theme="1"/>
      <name val="AngsanaUPC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8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9" fillId="11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2" borderId="1" xfId="0" applyFont="1" applyFill="1" applyBorder="1"/>
    <xf numFmtId="0" fontId="2" fillId="3" borderId="1" xfId="6" applyFill="1" applyBorder="1"/>
    <xf numFmtId="0" fontId="2" fillId="0" borderId="1" xfId="6" applyFont="1" applyBorder="1"/>
    <xf numFmtId="0" fontId="2" fillId="3" borderId="1" xfId="6" applyFont="1" applyFill="1" applyBorder="1"/>
    <xf numFmtId="0" fontId="3" fillId="0" borderId="0" xfId="0" applyFont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2" borderId="6" xfId="0" applyFont="1" applyFill="1" applyBorder="1"/>
    <xf numFmtId="0" fontId="0" fillId="5" borderId="1" xfId="0" applyFill="1" applyBorder="1"/>
    <xf numFmtId="0" fontId="0" fillId="0" borderId="1" xfId="0" applyBorder="1"/>
    <xf numFmtId="0" fontId="0" fillId="0" borderId="0" xfId="0" applyFill="1"/>
    <xf numFmtId="0" fontId="0" fillId="0" borderId="0" xfId="0" applyNumberFormat="1"/>
    <xf numFmtId="0" fontId="0" fillId="0" borderId="0" xfId="0" applyNumberFormat="1" applyFill="1"/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2" fillId="2" borderId="9" xfId="6" applyFill="1" applyBorder="1"/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4" fillId="6" borderId="12" xfId="0" applyFont="1" applyFill="1" applyBorder="1" applyAlignment="1">
      <alignment horizontal="center"/>
    </xf>
    <xf numFmtId="0" fontId="3" fillId="2" borderId="13" xfId="0" applyFont="1" applyFill="1" applyBorder="1"/>
    <xf numFmtId="0" fontId="2" fillId="0" borderId="2" xfId="6" applyBorder="1"/>
    <xf numFmtId="0" fontId="2" fillId="0" borderId="0" xfId="6"/>
    <xf numFmtId="0" fontId="2" fillId="0" borderId="4" xfId="6" applyBorder="1"/>
    <xf numFmtId="0" fontId="3" fillId="4" borderId="0" xfId="0" applyFont="1" applyFill="1"/>
    <xf numFmtId="0" fontId="5" fillId="7" borderId="0" xfId="0" applyFont="1" applyFill="1"/>
    <xf numFmtId="0" fontId="6" fillId="7" borderId="14" xfId="0" applyFont="1" applyFill="1" applyBorder="1" applyAlignment="1">
      <alignment horizontal="center"/>
    </xf>
    <xf numFmtId="0" fontId="3" fillId="0" borderId="1" xfId="0" applyFont="1" applyBorder="1"/>
    <xf numFmtId="0" fontId="7" fillId="5" borderId="0" xfId="0" applyFont="1" applyFill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80" fontId="3" fillId="2" borderId="1" xfId="0" applyNumberFormat="1" applyFont="1" applyFill="1" applyBorder="1"/>
    <xf numFmtId="180" fontId="0" fillId="0" borderId="1" xfId="0" applyNumberFormat="1" applyBorder="1"/>
    <xf numFmtId="9" fontId="0" fillId="0" borderId="0" xfId="3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653587051618548"/>
          <c:y val="0.0254283318751823"/>
          <c:w val="0.890196850393701"/>
          <c:h val="0.6373450714494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Final 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Sheet3!$B$3:$B$16</c:f>
              <c:strCache>
                <c:ptCount val="14"/>
                <c:pt idx="0">
                  <c:v>Arjun</c:v>
                </c:pt>
                <c:pt idx="1">
                  <c:v>Madhav</c:v>
                </c:pt>
                <c:pt idx="2">
                  <c:v>vrinda</c:v>
                </c:pt>
                <c:pt idx="3">
                  <c:v>Indu</c:v>
                </c:pt>
                <c:pt idx="4">
                  <c:v>Gopal</c:v>
                </c:pt>
                <c:pt idx="5">
                  <c:v>Keshav</c:v>
                </c:pt>
                <c:pt idx="6">
                  <c:v>Champa</c:v>
                </c:pt>
                <c:pt idx="7">
                  <c:v>Abhi</c:v>
                </c:pt>
                <c:pt idx="8">
                  <c:v>Gopi</c:v>
                </c:pt>
                <c:pt idx="9">
                  <c:v>Sudevi</c:v>
                </c:pt>
                <c:pt idx="10">
                  <c:v>visakha</c:v>
                </c:pt>
                <c:pt idx="11">
                  <c:v>Hari</c:v>
                </c:pt>
                <c:pt idx="12">
                  <c:v>RNM</c:v>
                </c:pt>
                <c:pt idx="13">
                  <c:v>Lalitha</c:v>
                </c:pt>
              </c:strCache>
            </c:strRef>
          </c:cat>
          <c:val>
            <c:numRef>
              <c:f>Sheet3!$C$3:$C$16</c:f>
              <c:numCache>
                <c:formatCode>General</c:formatCode>
                <c:ptCount val="14"/>
                <c:pt idx="0">
                  <c:v>91</c:v>
                </c:pt>
                <c:pt idx="1">
                  <c:v>89</c:v>
                </c:pt>
                <c:pt idx="2">
                  <c:v>98</c:v>
                </c:pt>
                <c:pt idx="3">
                  <c:v>89</c:v>
                </c:pt>
                <c:pt idx="4">
                  <c:v>79</c:v>
                </c:pt>
                <c:pt idx="5">
                  <c:v>96</c:v>
                </c:pt>
                <c:pt idx="6">
                  <c:v>88</c:v>
                </c:pt>
                <c:pt idx="7">
                  <c:v>99</c:v>
                </c:pt>
                <c:pt idx="8">
                  <c:v>96</c:v>
                </c:pt>
                <c:pt idx="9">
                  <c:v>87</c:v>
                </c:pt>
                <c:pt idx="10">
                  <c:v>85</c:v>
                </c:pt>
                <c:pt idx="11">
                  <c:v>80</c:v>
                </c:pt>
                <c:pt idx="12">
                  <c:v>77</c:v>
                </c:pt>
                <c:pt idx="13">
                  <c:v>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11629359"/>
        <c:axId val="1613283839"/>
      </c:barChart>
      <c:catAx>
        <c:axId val="911629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Student</a:t>
                </a:r>
                <a:r>
                  <a:rPr lang="en-IN" b="1" baseline="0"/>
                  <a:t> names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25293742475669"/>
              <c:y val="0.7867009817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3283839"/>
        <c:crosses val="autoZero"/>
        <c:auto val="1"/>
        <c:lblAlgn val="ctr"/>
        <c:lblOffset val="100"/>
        <c:noMultiLvlLbl val="0"/>
      </c:catAx>
      <c:valAx>
        <c:axId val="1613283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marks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00769490335483201"/>
              <c:y val="0.3232746839428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162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2ea94a-0111-4474-8d76-391e3858bc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11</xdr:col>
      <xdr:colOff>83820</xdr:colOff>
      <xdr:row>8</xdr:row>
      <xdr:rowOff>121921</xdr:rowOff>
    </xdr:from>
    <xdr:to>
      <xdr:col>13</xdr:col>
      <xdr:colOff>396240</xdr:colOff>
      <xdr:row>13</xdr:row>
      <xdr:rowOff>114300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6240" y="1594485"/>
              <a:ext cx="1546860" cy="906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129540</xdr:colOff>
      <xdr:row>0</xdr:row>
      <xdr:rowOff>137161</xdr:rowOff>
    </xdr:from>
    <xdr:to>
      <xdr:col>13</xdr:col>
      <xdr:colOff>373380</xdr:colOff>
      <xdr:row>8</xdr:row>
      <xdr:rowOff>160020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Hous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u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1960" y="137160"/>
              <a:ext cx="1478280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459740</xdr:colOff>
      <xdr:row>9</xdr:row>
      <xdr:rowOff>164465</xdr:rowOff>
    </xdr:from>
    <xdr:to>
      <xdr:col>17</xdr:col>
      <xdr:colOff>147320</xdr:colOff>
      <xdr:row>12</xdr:row>
      <xdr:rowOff>111125</xdr:rowOff>
    </xdr:to>
    <xdr:sp>
      <xdr:nvSpPr>
        <xdr:cNvPr id="4" name="Rectangle 3"/>
        <xdr:cNvSpPr/>
      </xdr:nvSpPr>
      <xdr:spPr>
        <a:xfrm>
          <a:off x="10243820" y="1819910"/>
          <a:ext cx="1539240" cy="495300"/>
        </a:xfrm>
        <a:prstGeom prst="rect">
          <a:avLst/>
        </a:prstGeom>
        <a:noFill/>
        <a:ln w="38100"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11</xdr:col>
      <xdr:colOff>28575</xdr:colOff>
      <xdr:row>14</xdr:row>
      <xdr:rowOff>37465</xdr:rowOff>
    </xdr:from>
    <xdr:to>
      <xdr:col>14</xdr:col>
      <xdr:colOff>5715</xdr:colOff>
      <xdr:row>23</xdr:row>
      <xdr:rowOff>88265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60995" y="2607310"/>
              <a:ext cx="1828800" cy="1696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459036</xdr:colOff>
      <xdr:row>1</xdr:row>
      <xdr:rowOff>37549</xdr:rowOff>
    </xdr:from>
    <xdr:to>
      <xdr:col>15</xdr:col>
      <xdr:colOff>569204</xdr:colOff>
      <xdr:row>22</xdr:row>
      <xdr:rowOff>27542</xdr:rowOff>
    </xdr:to>
    <xdr:graphicFrame>
      <xdr:nvGraphicFramePr>
        <xdr:cNvPr id="2" name="Chart 1"/>
        <xdr:cNvGraphicFramePr/>
      </xdr:nvGraphicFramePr>
      <xdr:xfrm>
        <a:off x="2424430" y="220345"/>
        <a:ext cx="7517130" cy="383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7.8656059028" refreshedBy="gouth" recordCount="14">
  <cacheSource type="worksheet">
    <worksheetSource ref="B3:J17" sheet="Sheet5"/>
  </cacheSource>
  <cacheFields count="9">
    <cacheField name="Name" numFmtId="0"/>
    <cacheField name="Gender" numFmtId="0">
      <sharedItems count="2">
        <s v="M"/>
        <s v="F"/>
      </sharedItems>
    </cacheField>
    <cacheField name="Age" numFmtId="0"/>
    <cacheField name="Class" numFmtId="0"/>
    <cacheField name="House" numFmtId="0">
      <sharedItems count="4">
        <s v="Vayu"/>
        <s v="Jal"/>
        <s v="Agni"/>
        <s v="Bhoomi"/>
      </sharedItems>
    </cacheField>
    <cacheField name="UnitTest-1" numFmtId="0"/>
    <cacheField name="UnitTest2" numFmtId="0"/>
    <cacheField name="Final Test" numFmtId="0"/>
    <cacheField name="halfyearly 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Arjun"/>
    <x v="0"/>
    <n v="11"/>
    <n v="5"/>
    <x v="0"/>
    <n v="82"/>
    <n v="83"/>
    <n v="100"/>
    <m/>
  </r>
  <r>
    <s v="Madhav"/>
    <x v="0"/>
    <n v="12"/>
    <n v="7"/>
    <x v="1"/>
    <n v="86"/>
    <n v="92"/>
    <n v="89"/>
    <m/>
  </r>
  <r>
    <s v="vrinda"/>
    <x v="1"/>
    <n v="14"/>
    <n v="8"/>
    <x v="2"/>
    <n v="91"/>
    <n v="96"/>
    <n v="100"/>
    <m/>
  </r>
  <r>
    <s v="Indu"/>
    <x v="1"/>
    <n v="14"/>
    <n v="8"/>
    <x v="0"/>
    <n v="90"/>
    <n v="86"/>
    <n v="89"/>
    <m/>
  </r>
  <r>
    <s v="Gopal"/>
    <x v="0"/>
    <n v="14"/>
    <n v="8"/>
    <x v="3"/>
    <n v="70"/>
    <n v="75"/>
    <n v="79"/>
    <m/>
  </r>
  <r>
    <s v="Keshav"/>
    <x v="0"/>
    <n v="15"/>
    <n v="9"/>
    <x v="2"/>
    <n v="87"/>
    <n v="89"/>
    <n v="96"/>
    <m/>
  </r>
  <r>
    <s v="Champa"/>
    <x v="1"/>
    <n v="15"/>
    <n v="8"/>
    <x v="1"/>
    <n v="81"/>
    <n v="78"/>
    <n v="88"/>
    <m/>
  </r>
  <r>
    <s v="Abhi"/>
    <x v="0"/>
    <n v="16"/>
    <n v="10"/>
    <x v="3"/>
    <n v="84"/>
    <n v="79"/>
    <n v="99"/>
    <m/>
  </r>
  <r>
    <s v="Gopi"/>
    <x v="1"/>
    <n v="16"/>
    <n v="10"/>
    <x v="2"/>
    <n v="88"/>
    <n v="92"/>
    <n v="96"/>
    <m/>
  </r>
  <r>
    <s v="Sudevi"/>
    <x v="1"/>
    <n v="16"/>
    <n v="10"/>
    <x v="1"/>
    <n v="81"/>
    <n v="80"/>
    <n v="87"/>
    <m/>
  </r>
  <r>
    <s v="visakha"/>
    <x v="1"/>
    <n v="16"/>
    <n v="10"/>
    <x v="3"/>
    <n v="70"/>
    <n v="87"/>
    <n v="85"/>
    <m/>
  </r>
  <r>
    <s v="Hari"/>
    <x v="0"/>
    <n v="16"/>
    <n v="10"/>
    <x v="3"/>
    <n v="82"/>
    <n v="81"/>
    <n v="80"/>
    <m/>
  </r>
  <r>
    <s v="RNM"/>
    <x v="0"/>
    <n v="16"/>
    <n v="10"/>
    <x v="2"/>
    <n v="86"/>
    <n v="81"/>
    <n v="77"/>
    <m/>
  </r>
  <r>
    <s v="Lalitha"/>
    <x v="1"/>
    <n v="17"/>
    <n v="10"/>
    <x v="0"/>
    <n v="70"/>
    <n v="90"/>
    <n v="9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colGrandTotals="0" compact="0" indent="0" compactData="0" showDrill="1" multipleFieldFilters="0">
  <location ref="A3:C11" firstHeaderRow="1" firstDataRow="1" firstDataCol="2"/>
  <pivotFields count="9">
    <pivotField compact="0" defaultSubtotal="0" outline="0" showAll="0"/>
    <pivotField axis="axisRow" compact="0" defaultSubtotal="0" outline="0" showAll="0">
      <items count="2">
        <item x="1"/>
        <item x="0"/>
      </items>
    </pivotField>
    <pivotField compact="0" defaultSubtotal="0" outline="0" showAll="0"/>
    <pivotField compact="0" defaultSubtotal="0" outline="0" showAll="0"/>
    <pivotField axis="axisRow" compact="0" sortType="descending" defaultSubtotal="0" outline="0" showAll="0">
      <items count="4">
        <item x="2"/>
        <item x="3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/>
    <pivotField compact="0" defaultSubtotal="0" outline="0" showAll="0"/>
    <pivotField dataField="1" compact="0" defaultSubtotal="0" outline="0" showAll="0"/>
    <pivotField compact="0" defaultSubtotal="0" outline="0" subtotalTop="0" showAll="0"/>
  </pivotFields>
  <rowFields count="2">
    <field x="4"/>
    <field x="1"/>
  </rowFields>
  <rowItems count="8">
    <i>
      <x/>
      <x/>
    </i>
    <i r="1">
      <x v="1"/>
    </i>
    <i>
      <x v="1"/>
      <x/>
    </i>
    <i r="1">
      <x v="1"/>
    </i>
    <i>
      <x v="3"/>
      <x/>
    </i>
    <i r="1">
      <x v="1"/>
    </i>
    <i>
      <x v="2"/>
      <x/>
    </i>
    <i r="1">
      <x v="1"/>
    </i>
  </rowItems>
  <colItems count="1">
    <i/>
  </colItems>
  <dataFields count="1">
    <dataField name="Sum of Final Test" fld="7" baseField="4" baseItem="0"/>
  </dataFields>
  <formats count="4">
    <format dxfId="0">
      <pivotArea outline="0" fieldPosition="0">
        <references count="2">
          <reference field="1" count="1" selected="0">
            <x v="1"/>
          </reference>
          <reference field="4" count="1" selected="0">
            <x v="1"/>
          </reference>
        </references>
      </pivotArea>
    </format>
    <format dxfId="1">
      <pivotArea field="4" type="button" dataOnly="0" labelOnly="1" outline="0" fieldPosition="0"/>
    </format>
    <format dxfId="2">
      <pivotArea field="1" type="button" dataOnly="0" labelOnly="1" outline="0" fieldPosition="0"/>
    </format>
    <format dxfId="3">
      <pivotArea dataOnly="0" labelOnly="1" outline="0" fieldPosition="0"/>
    </format>
  </formats>
  <pivotTableStyleInfo name="PivotStyleDark3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House" sourceName="House">
  <extLst>
    <x:ext xmlns:x15="http://schemas.microsoft.com/office/spreadsheetml/2010/11/main" uri="{2F2917AC-EB37-4324-AD4E-5DD8C200BD13}">
      <x15:tableSlicerCache tableId="2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" sourceName="Age">
  <extLst>
    <x:ext xmlns:x15="http://schemas.microsoft.com/office/spreadsheetml/2010/11/main" uri="{2F2917AC-EB37-4324-AD4E-5DD8C200BD13}">
      <x15:tableSlicerCache tableId="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34950"/>
  <slicer name="House" cache="Slicer_House" caption="House" rowHeight="234950"/>
  <slicer name="Age" cache="Slicer_Age" caption="Age" rowHeight="225425"/>
</slicers>
</file>

<file path=xl/tables/table1.xml><?xml version="1.0" encoding="utf-8"?>
<table xmlns="http://schemas.openxmlformats.org/spreadsheetml/2006/main" id="2" name="Table2" displayName="Table2" ref="B3:J17" totalsRowShown="0">
  <autoFilter xmlns:etc="http://www.wps.cn/officeDocument/2017/etCustomData" ref="B3:J17" etc:filterBottomFollowUsedRange="0"/>
  <tableColumns count="9">
    <tableColumn id="1" name="Name" dataDxfId="5"/>
    <tableColumn id="2" name="Gender" dataDxfId="6"/>
    <tableColumn id="3" name="Age" dataDxfId="7"/>
    <tableColumn id="4" name="Class" dataDxfId="8"/>
    <tableColumn id="5" name="House" dataDxfId="9"/>
    <tableColumn id="6" name="UnitTest-1" dataDxfId="10"/>
    <tableColumn id="7" name="UnitTest2" dataDxfId="11"/>
    <tableColumn id="8" name="Final Test" dataDxfId="12"/>
    <tableColumn id="9" name="email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3:H6" totalsRowShown="0">
  <autoFilter xmlns:etc="http://www.wps.cn/officeDocument/2017/etCustomData" ref="A3:H6" etc:filterBottomFollowUsedRange="0"/>
  <tableColumns count="8">
    <tableColumn id="1" name="Name"/>
    <tableColumn id="2" name="Gender"/>
    <tableColumn id="3" name="Age"/>
    <tableColumn id="4" name="Class"/>
    <tableColumn id="5" name="House"/>
    <tableColumn id="6" name="UnitTest-1"/>
    <tableColumn id="7" name="UnitTest2"/>
    <tableColumn id="8" name="Final Te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D3:D6" totalsRowShown="0">
  <autoFilter xmlns:etc="http://www.wps.cn/officeDocument/2017/etCustomData" ref="D3:D6" etc:filterBottomFollowUsedRange="0"/>
  <tableColumns count="1">
    <tableColumn id="1" name="Grad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H3:I9" totalsRowShown="0">
  <autoFilter xmlns:etc="http://www.wps.cn/officeDocument/2017/etCustomData" ref="H3:I9" etc:filterBottomFollowUsedRange="0"/>
  <tableColumns count="2">
    <tableColumn id="1" name="Name" dataDxfId="14"/>
    <tableColumn id="2" name="Grade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B2:C16" totalsRowShown="0">
  <autoFilter xmlns:etc="http://www.wps.cn/officeDocument/2017/etCustomData" ref="B2:C16" etc:filterBottomFollowUsedRange="0"/>
  <tableColumns count="2">
    <tableColumn id="1" name="Name" dataDxfId="15"/>
    <tableColumn id="2" name="Final Test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Gopal@mail.com" TargetMode="External"/><Relationship Id="rId8" Type="http://schemas.openxmlformats.org/officeDocument/2006/relationships/hyperlink" Target="mailto:Champa@mail.com" TargetMode="External"/><Relationship Id="rId7" Type="http://schemas.openxmlformats.org/officeDocument/2006/relationships/hyperlink" Target="mailto:Arjun@mail.com" TargetMode="External"/><Relationship Id="rId6" Type="http://schemas.openxmlformats.org/officeDocument/2006/relationships/hyperlink" Target="mailto:Abhimanyu@mail.com" TargetMode="External"/><Relationship Id="rId5" Type="http://schemas.microsoft.com/office/2007/relationships/slicer" Target="../slicers/slicer1.xml"/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9" Type="http://schemas.openxmlformats.org/officeDocument/2006/relationships/hyperlink" Target="mailto:vrinda@mail.com" TargetMode="External"/><Relationship Id="rId18" Type="http://schemas.openxmlformats.org/officeDocument/2006/relationships/hyperlink" Target="mailto:visakha@mail.com" TargetMode="External"/><Relationship Id="rId17" Type="http://schemas.openxmlformats.org/officeDocument/2006/relationships/hyperlink" Target="mailto:Sudevi@mail.com" TargetMode="External"/><Relationship Id="rId16" Type="http://schemas.openxmlformats.org/officeDocument/2006/relationships/hyperlink" Target="mailto:RNM@mail.com" TargetMode="External"/><Relationship Id="rId15" Type="http://schemas.openxmlformats.org/officeDocument/2006/relationships/hyperlink" Target="mailto:Madhav@mail.com" TargetMode="External"/><Relationship Id="rId14" Type="http://schemas.openxmlformats.org/officeDocument/2006/relationships/hyperlink" Target="mailto:Lalitha@mail.com" TargetMode="External"/><Relationship Id="rId13" Type="http://schemas.openxmlformats.org/officeDocument/2006/relationships/hyperlink" Target="mailto:Keshav@mail.com" TargetMode="External"/><Relationship Id="rId12" Type="http://schemas.openxmlformats.org/officeDocument/2006/relationships/hyperlink" Target="mailto:Indu@mail.com" TargetMode="External"/><Relationship Id="rId11" Type="http://schemas.openxmlformats.org/officeDocument/2006/relationships/hyperlink" Target="mailto:Hari@mail.com" TargetMode="External"/><Relationship Id="rId10" Type="http://schemas.openxmlformats.org/officeDocument/2006/relationships/hyperlink" Target="mailto:Gopi@mail.com" TargetMode="Externa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mailto:Indu@mail.com" TargetMode="External"/><Relationship Id="rId8" Type="http://schemas.openxmlformats.org/officeDocument/2006/relationships/hyperlink" Target="mailto:Hari@mail.com" TargetMode="External"/><Relationship Id="rId7" Type="http://schemas.openxmlformats.org/officeDocument/2006/relationships/hyperlink" Target="mailto:Gopi@mail.com" TargetMode="External"/><Relationship Id="rId6" Type="http://schemas.openxmlformats.org/officeDocument/2006/relationships/hyperlink" Target="mailto:Gopal@mail.com" TargetMode="External"/><Relationship Id="rId5" Type="http://schemas.openxmlformats.org/officeDocument/2006/relationships/hyperlink" Target="mailto:Champa@mail.com" TargetMode="External"/><Relationship Id="rId4" Type="http://schemas.openxmlformats.org/officeDocument/2006/relationships/hyperlink" Target="mailto:Arjun@mail.com" TargetMode="External"/><Relationship Id="rId3" Type="http://schemas.openxmlformats.org/officeDocument/2006/relationships/hyperlink" Target="mailto:Abhimanyu@mail.com" TargetMode="External"/><Relationship Id="rId2" Type="http://schemas.openxmlformats.org/officeDocument/2006/relationships/vmlDrawing" Target="../drawings/vmlDrawing2.vml"/><Relationship Id="rId16" Type="http://schemas.openxmlformats.org/officeDocument/2006/relationships/hyperlink" Target="mailto:vrinda@mail.com" TargetMode="External"/><Relationship Id="rId15" Type="http://schemas.openxmlformats.org/officeDocument/2006/relationships/hyperlink" Target="mailto:visakha@mail.com" TargetMode="External"/><Relationship Id="rId14" Type="http://schemas.openxmlformats.org/officeDocument/2006/relationships/hyperlink" Target="mailto:Sudevi@mail.com" TargetMode="External"/><Relationship Id="rId13" Type="http://schemas.openxmlformats.org/officeDocument/2006/relationships/hyperlink" Target="mailto:RNM@mail.com" TargetMode="External"/><Relationship Id="rId12" Type="http://schemas.openxmlformats.org/officeDocument/2006/relationships/hyperlink" Target="mailto:Madhav@mail.com" TargetMode="External"/><Relationship Id="rId11" Type="http://schemas.openxmlformats.org/officeDocument/2006/relationships/hyperlink" Target="mailto:Lalitha@mail.com" TargetMode="External"/><Relationship Id="rId10" Type="http://schemas.openxmlformats.org/officeDocument/2006/relationships/hyperlink" Target="mailto:Keshav@mail.com" TargetMode="Externa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49977111117893"/>
  </sheetPr>
  <dimension ref="B1:K14"/>
  <sheetViews>
    <sheetView zoomScale="199" zoomScaleNormal="199" topLeftCell="B1" workbookViewId="0">
      <selection activeCell="A8" sqref="A8"/>
    </sheetView>
  </sheetViews>
  <sheetFormatPr defaultColWidth="9" defaultRowHeight="14.4"/>
  <cols>
    <col min="3" max="3" width="10.4444444444444" customWidth="1"/>
    <col min="4" max="4" width="9.77777777777778" customWidth="1"/>
    <col min="5" max="5" width="10.3333333333333" customWidth="1"/>
    <col min="10" max="10" width="9.77777777777778" customWidth="1"/>
    <col min="11" max="11" width="15.3333333333333" customWidth="1"/>
  </cols>
  <sheetData>
    <row r="1" customHeight="1" spans="2:11">
      <c r="B1" s="43" t="s">
        <v>0</v>
      </c>
      <c r="C1" s="43"/>
      <c r="D1" s="43"/>
      <c r="E1" s="43"/>
      <c r="F1" s="43"/>
      <c r="G1" s="43"/>
      <c r="H1" s="43"/>
      <c r="I1" s="43"/>
      <c r="J1" s="43"/>
      <c r="K1" s="43"/>
    </row>
    <row r="2" customHeight="1" spans="2:11"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2:11">
      <c r="B3" s="45" t="s">
        <v>1</v>
      </c>
      <c r="C3" s="46" t="s">
        <v>2</v>
      </c>
      <c r="D3" s="46" t="s">
        <v>3</v>
      </c>
      <c r="E3" s="47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5" t="s">
        <v>9</v>
      </c>
      <c r="K3" s="46" t="s">
        <v>10</v>
      </c>
    </row>
    <row r="4" spans="2:11">
      <c r="B4" s="30">
        <v>1</v>
      </c>
      <c r="C4" s="30" t="s">
        <v>11</v>
      </c>
      <c r="D4" s="30" t="s">
        <v>12</v>
      </c>
      <c r="E4" s="48">
        <v>38167</v>
      </c>
      <c r="F4" s="30">
        <v>1500</v>
      </c>
      <c r="G4" s="30">
        <v>1600</v>
      </c>
      <c r="H4" s="30">
        <v>1700</v>
      </c>
      <c r="I4" s="30">
        <f>SUM(F4:H4)</f>
        <v>4800</v>
      </c>
      <c r="J4" s="30">
        <f>AVERAGE(F4:H4)</f>
        <v>1600</v>
      </c>
      <c r="K4" s="30" t="str">
        <f>CONCATENATE(C4," ",D4)</f>
        <v>gouthami vadla</v>
      </c>
    </row>
    <row r="5" spans="2:11">
      <c r="B5" s="30">
        <v>2</v>
      </c>
      <c r="C5" s="30" t="s">
        <v>13</v>
      </c>
      <c r="D5" s="30" t="s">
        <v>14</v>
      </c>
      <c r="E5" s="48">
        <v>37884</v>
      </c>
      <c r="F5" s="30">
        <v>1600</v>
      </c>
      <c r="G5" s="30">
        <v>1700</v>
      </c>
      <c r="H5" s="30">
        <v>1800</v>
      </c>
      <c r="I5" s="30">
        <f t="shared" ref="I5:I8" si="0">SUM(F5:H5)</f>
        <v>5100</v>
      </c>
      <c r="J5" s="30">
        <f>AVERAGE(F5:H5)</f>
        <v>1700</v>
      </c>
      <c r="K5" s="30" t="str">
        <f>CONCATENATE(C5," ",D5)</f>
        <v>sai vadithya</v>
      </c>
    </row>
    <row r="6" spans="2:11">
      <c r="B6" s="30">
        <v>3</v>
      </c>
      <c r="C6" s="30" t="s">
        <v>15</v>
      </c>
      <c r="D6" s="30" t="s">
        <v>16</v>
      </c>
      <c r="E6" s="48">
        <v>38223</v>
      </c>
      <c r="F6" s="30">
        <v>1700</v>
      </c>
      <c r="G6" s="30">
        <v>1800</v>
      </c>
      <c r="H6" s="30">
        <v>1900</v>
      </c>
      <c r="I6" s="30">
        <f t="shared" si="0"/>
        <v>5400</v>
      </c>
      <c r="J6" s="30">
        <f>AVERAGE(F6:H6)</f>
        <v>1800</v>
      </c>
      <c r="K6" s="30" t="str">
        <f>CONCATENATE(C6," ",D6)</f>
        <v>priya veerapogu</v>
      </c>
    </row>
    <row r="7" spans="2:11">
      <c r="B7" s="30">
        <v>4</v>
      </c>
      <c r="C7" s="30" t="s">
        <v>17</v>
      </c>
      <c r="D7" s="30" t="s">
        <v>18</v>
      </c>
      <c r="E7" s="48">
        <v>38670</v>
      </c>
      <c r="F7" s="30">
        <v>1800</v>
      </c>
      <c r="G7" s="30">
        <v>1900</v>
      </c>
      <c r="H7" s="30">
        <v>2000</v>
      </c>
      <c r="I7" s="30">
        <f t="shared" si="0"/>
        <v>5700</v>
      </c>
      <c r="J7" s="30">
        <f>AVERAGE(F7:H7)</f>
        <v>1900</v>
      </c>
      <c r="K7" s="30" t="str">
        <f>CONCATENATE(C7," ",D7)</f>
        <v>mounika velupula</v>
      </c>
    </row>
    <row r="8" spans="2:11">
      <c r="B8" s="30">
        <v>5</v>
      </c>
      <c r="C8" s="30" t="s">
        <v>19</v>
      </c>
      <c r="D8" s="30" t="s">
        <v>20</v>
      </c>
      <c r="E8" s="48">
        <v>38628</v>
      </c>
      <c r="F8" s="30">
        <v>1900</v>
      </c>
      <c r="G8" s="30">
        <v>2000</v>
      </c>
      <c r="H8" s="30">
        <v>1600</v>
      </c>
      <c r="I8" s="30">
        <f t="shared" si="0"/>
        <v>5500</v>
      </c>
      <c r="J8" s="51">
        <f>AVERAGE(F8:H8)</f>
        <v>1833.33333333333</v>
      </c>
      <c r="K8" s="30" t="str">
        <f>CONCATENATE(C8," ",D8)</f>
        <v>preethi ala</v>
      </c>
    </row>
    <row r="9" spans="7:7">
      <c r="G9" s="49"/>
    </row>
    <row r="10" spans="6:6">
      <c r="F10" s="50"/>
    </row>
    <row r="11" spans="6:10">
      <c r="F11" s="50"/>
      <c r="J11" s="52"/>
    </row>
    <row r="12" spans="6:6">
      <c r="F12" s="50"/>
    </row>
    <row r="13" spans="6:6">
      <c r="F13" s="50"/>
    </row>
    <row r="14" spans="6:6">
      <c r="F14" s="50"/>
    </row>
  </sheetData>
  <mergeCells count="1">
    <mergeCell ref="B1:K2"/>
  </mergeCells>
  <conditionalFormatting sqref="K3:K1048576">
    <cfRule type="duplicateValues" dxfId="4" priority="1"/>
  </conditionalFormatting>
  <conditionalFormatting sqref="H3:I3 H4:H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7"/>
  <sheetViews>
    <sheetView zoomScale="191" zoomScaleNormal="191" workbookViewId="0">
      <selection activeCell="E5" sqref="E5"/>
    </sheetView>
  </sheetViews>
  <sheetFormatPr defaultColWidth="9" defaultRowHeight="14.4" outlineLevelRow="6" outlineLevelCol="4"/>
  <cols>
    <col min="5" max="5" width="10.7777777777778" customWidth="1"/>
  </cols>
  <sheetData>
    <row r="1" spans="2:5">
      <c r="B1" s="41" t="s">
        <v>21</v>
      </c>
      <c r="C1" s="41"/>
      <c r="D1" s="41"/>
      <c r="E1" s="41"/>
    </row>
    <row r="2" spans="2:5">
      <c r="B2" s="42" t="s">
        <v>22</v>
      </c>
      <c r="C2" s="42" t="s">
        <v>23</v>
      </c>
      <c r="D2" s="42" t="s">
        <v>24</v>
      </c>
      <c r="E2" s="42" t="s">
        <v>25</v>
      </c>
    </row>
    <row r="3" spans="2:5">
      <c r="B3" s="20">
        <v>1.0333</v>
      </c>
      <c r="C3" s="20">
        <f>ROUND(B3,0)</f>
        <v>1</v>
      </c>
      <c r="D3" s="20">
        <f>ROUNDUP(B3,0)</f>
        <v>2</v>
      </c>
      <c r="E3" s="20">
        <f>ROUNDDOWN(B3,0)</f>
        <v>1</v>
      </c>
    </row>
    <row r="4" spans="2:5">
      <c r="B4" s="20">
        <v>2.0555</v>
      </c>
      <c r="C4" s="20">
        <f>ROUND(B4,1)</f>
        <v>2.1</v>
      </c>
      <c r="D4" s="20">
        <f>ROUNDUP(B4,1)</f>
        <v>2.1</v>
      </c>
      <c r="E4" s="20">
        <f>ROUNDDOWN(B4,1)</f>
        <v>2</v>
      </c>
    </row>
    <row r="5" spans="2:5">
      <c r="B5" s="20">
        <v>2.99999</v>
      </c>
      <c r="C5" s="20">
        <f>ROUND(B5,2)</f>
        <v>3</v>
      </c>
      <c r="D5" s="20">
        <f t="shared" ref="D4:D7" si="0">ROUNDUP(B5,0)</f>
        <v>3</v>
      </c>
      <c r="E5" s="20">
        <f t="shared" ref="E4:E7" si="1">ROUNDDOWN(B5,0)</f>
        <v>2</v>
      </c>
    </row>
    <row r="6" spans="2:5">
      <c r="B6" s="20">
        <v>8.9565</v>
      </c>
      <c r="C6" s="20">
        <f>ROUND(B6,3)</f>
        <v>8.957</v>
      </c>
      <c r="D6" s="20">
        <f t="shared" si="0"/>
        <v>9</v>
      </c>
      <c r="E6" s="20">
        <f t="shared" si="1"/>
        <v>8</v>
      </c>
    </row>
    <row r="7" spans="2:5">
      <c r="B7" s="20">
        <v>1.333</v>
      </c>
      <c r="C7" s="20">
        <f>ROUND(B7,4)</f>
        <v>1.333</v>
      </c>
      <c r="D7" s="20">
        <f t="shared" si="0"/>
        <v>2</v>
      </c>
      <c r="E7" s="20">
        <f t="shared" si="1"/>
        <v>1</v>
      </c>
    </row>
  </sheetData>
  <mergeCells count="1">
    <mergeCell ref="B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4"/>
  <sheetViews>
    <sheetView zoomScale="237" zoomScaleNormal="237" workbookViewId="0">
      <selection activeCell="B1" sqref="B1"/>
    </sheetView>
  </sheetViews>
  <sheetFormatPr defaultColWidth="9" defaultRowHeight="14.4" outlineLevelCol="5"/>
  <cols>
    <col min="3" max="3" width="4.44444444444444" customWidth="1"/>
    <col min="5" max="5" width="10.4444444444444" customWidth="1"/>
    <col min="6" max="6" width="4.77777777777778" customWidth="1"/>
  </cols>
  <sheetData>
    <row r="2" spans="2:5">
      <c r="B2" s="39" t="s">
        <v>26</v>
      </c>
      <c r="E2" s="40" t="s">
        <v>27</v>
      </c>
    </row>
    <row r="3" spans="2:6">
      <c r="B3" t="s">
        <v>28</v>
      </c>
      <c r="C3" t="s">
        <v>29</v>
      </c>
      <c r="E3" t="s">
        <v>30</v>
      </c>
      <c r="F3" t="s">
        <v>31</v>
      </c>
    </row>
    <row r="4" spans="2:6">
      <c r="B4" t="s">
        <v>32</v>
      </c>
      <c r="C4" t="s">
        <v>33</v>
      </c>
      <c r="E4" t="s">
        <v>34</v>
      </c>
      <c r="F4" t="s">
        <v>35</v>
      </c>
    </row>
    <row r="5" spans="2:6">
      <c r="B5" t="s">
        <v>36</v>
      </c>
      <c r="C5" t="s">
        <v>37</v>
      </c>
      <c r="E5" t="s">
        <v>38</v>
      </c>
      <c r="F5" t="s">
        <v>39</v>
      </c>
    </row>
    <row r="6" spans="2:6">
      <c r="B6" t="s">
        <v>40</v>
      </c>
      <c r="C6" t="s">
        <v>41</v>
      </c>
      <c r="E6" t="s">
        <v>42</v>
      </c>
      <c r="F6" t="s">
        <v>43</v>
      </c>
    </row>
    <row r="7" spans="2:6">
      <c r="B7" t="s">
        <v>44</v>
      </c>
      <c r="C7" t="s">
        <v>44</v>
      </c>
      <c r="E7" t="s">
        <v>45</v>
      </c>
      <c r="F7" t="s">
        <v>46</v>
      </c>
    </row>
    <row r="8" spans="2:6">
      <c r="B8" t="s">
        <v>47</v>
      </c>
      <c r="C8" t="s">
        <v>48</v>
      </c>
      <c r="E8" t="s">
        <v>49</v>
      </c>
      <c r="F8" t="s">
        <v>50</v>
      </c>
    </row>
    <row r="9" spans="2:6">
      <c r="B9" t="s">
        <v>51</v>
      </c>
      <c r="C9" t="s">
        <v>52</v>
      </c>
      <c r="E9" t="s">
        <v>53</v>
      </c>
      <c r="F9" t="s">
        <v>54</v>
      </c>
    </row>
    <row r="10" spans="2:3">
      <c r="B10" t="s">
        <v>55</v>
      </c>
      <c r="C10" t="s">
        <v>56</v>
      </c>
    </row>
    <row r="11" spans="2:3">
      <c r="B11" t="s">
        <v>57</v>
      </c>
      <c r="C11" t="s">
        <v>58</v>
      </c>
    </row>
    <row r="12" spans="2:3">
      <c r="B12" t="s">
        <v>59</v>
      </c>
      <c r="C12" t="s">
        <v>60</v>
      </c>
    </row>
    <row r="13" spans="2:3">
      <c r="B13" t="s">
        <v>61</v>
      </c>
      <c r="C13" t="s">
        <v>62</v>
      </c>
    </row>
    <row r="14" spans="2:3">
      <c r="B14" t="s">
        <v>63</v>
      </c>
      <c r="C14" t="s">
        <v>64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4"/>
  <sheetViews>
    <sheetView tabSelected="1" zoomScale="129" zoomScaleNormal="129" topLeftCell="B1" workbookViewId="0">
      <selection activeCell="O9" sqref="O9"/>
    </sheetView>
  </sheetViews>
  <sheetFormatPr defaultColWidth="9" defaultRowHeight="14.4"/>
  <cols>
    <col min="3" max="3" width="9" customWidth="1"/>
    <col min="7" max="7" width="11.5555555555556" customWidth="1"/>
    <col min="8" max="8" width="10.8888888888889" customWidth="1"/>
    <col min="9" max="9" width="10.6666666666667" customWidth="1"/>
    <col min="10" max="10" width="19.5555555555556" customWidth="1"/>
  </cols>
  <sheetData>
    <row r="1" ht="15.15" spans="2:10">
      <c r="B1" s="24" t="s">
        <v>65</v>
      </c>
      <c r="C1" s="25"/>
      <c r="D1" s="25"/>
      <c r="E1" s="25"/>
      <c r="F1" s="25"/>
      <c r="G1" s="25"/>
      <c r="H1" s="25"/>
      <c r="I1" s="25"/>
      <c r="J1" s="34"/>
    </row>
    <row r="3" spans="2:10">
      <c r="B3" s="26" t="s">
        <v>66</v>
      </c>
      <c r="C3" s="27" t="s">
        <v>67</v>
      </c>
      <c r="D3" s="27" t="s">
        <v>68</v>
      </c>
      <c r="E3" s="28" t="s">
        <v>69</v>
      </c>
      <c r="F3" s="28" t="s">
        <v>70</v>
      </c>
      <c r="G3" s="28" t="s">
        <v>71</v>
      </c>
      <c r="H3" s="28" t="s">
        <v>72</v>
      </c>
      <c r="I3" s="28" t="s">
        <v>73</v>
      </c>
      <c r="J3" s="35" t="s">
        <v>74</v>
      </c>
    </row>
    <row r="4" spans="2:10">
      <c r="B4" s="29" t="s">
        <v>75</v>
      </c>
      <c r="C4" s="30" t="s">
        <v>76</v>
      </c>
      <c r="D4" s="30">
        <v>11</v>
      </c>
      <c r="E4" s="20">
        <v>5</v>
      </c>
      <c r="F4" s="20" t="s">
        <v>77</v>
      </c>
      <c r="G4" s="20">
        <v>82</v>
      </c>
      <c r="H4" s="20">
        <v>83</v>
      </c>
      <c r="I4" s="20">
        <v>91</v>
      </c>
      <c r="J4" s="36" t="s">
        <v>78</v>
      </c>
    </row>
    <row r="5" spans="2:10">
      <c r="B5" s="29" t="s">
        <v>79</v>
      </c>
      <c r="C5" s="30" t="s">
        <v>76</v>
      </c>
      <c r="D5" s="30">
        <v>12</v>
      </c>
      <c r="E5" s="20">
        <v>7</v>
      </c>
      <c r="F5" s="20" t="s">
        <v>80</v>
      </c>
      <c r="G5" s="20">
        <v>86</v>
      </c>
      <c r="H5" s="20">
        <v>92</v>
      </c>
      <c r="I5" s="20">
        <v>89</v>
      </c>
      <c r="J5" s="36" t="s">
        <v>81</v>
      </c>
    </row>
    <row r="6" spans="2:10">
      <c r="B6" s="29" t="s">
        <v>82</v>
      </c>
      <c r="C6" s="30" t="s">
        <v>83</v>
      </c>
      <c r="D6" s="30">
        <v>14</v>
      </c>
      <c r="E6" s="20">
        <v>8</v>
      </c>
      <c r="F6" s="20" t="s">
        <v>84</v>
      </c>
      <c r="G6" s="20">
        <v>91</v>
      </c>
      <c r="H6" s="20">
        <v>96</v>
      </c>
      <c r="I6" s="20">
        <v>98</v>
      </c>
      <c r="J6" s="36" t="s">
        <v>85</v>
      </c>
    </row>
    <row r="7" spans="2:10">
      <c r="B7" s="29" t="s">
        <v>86</v>
      </c>
      <c r="C7" s="30" t="s">
        <v>83</v>
      </c>
      <c r="D7" s="30">
        <v>14</v>
      </c>
      <c r="E7" s="20">
        <v>8</v>
      </c>
      <c r="F7" s="20" t="s">
        <v>77</v>
      </c>
      <c r="G7" s="20">
        <v>90</v>
      </c>
      <c r="H7" s="20">
        <v>86</v>
      </c>
      <c r="I7" s="20">
        <v>89</v>
      </c>
      <c r="J7" s="36" t="s">
        <v>87</v>
      </c>
    </row>
    <row r="8" spans="2:10">
      <c r="B8" s="29" t="s">
        <v>88</v>
      </c>
      <c r="C8" s="30" t="s">
        <v>76</v>
      </c>
      <c r="D8" s="30">
        <v>14</v>
      </c>
      <c r="E8" s="20">
        <v>8</v>
      </c>
      <c r="F8" s="20" t="s">
        <v>89</v>
      </c>
      <c r="G8" s="20">
        <v>70</v>
      </c>
      <c r="H8" s="20">
        <v>75</v>
      </c>
      <c r="I8" s="20">
        <v>79</v>
      </c>
      <c r="J8" s="36" t="s">
        <v>90</v>
      </c>
    </row>
    <row r="9" spans="2:10">
      <c r="B9" s="29" t="s">
        <v>91</v>
      </c>
      <c r="C9" s="30" t="s">
        <v>76</v>
      </c>
      <c r="D9" s="30">
        <v>15</v>
      </c>
      <c r="E9" s="20">
        <v>9</v>
      </c>
      <c r="F9" s="20" t="s">
        <v>84</v>
      </c>
      <c r="G9" s="20">
        <v>87</v>
      </c>
      <c r="H9" s="20">
        <v>89</v>
      </c>
      <c r="I9" s="20">
        <v>96</v>
      </c>
      <c r="J9" s="36" t="s">
        <v>92</v>
      </c>
    </row>
    <row r="10" spans="2:10">
      <c r="B10" s="29" t="s">
        <v>93</v>
      </c>
      <c r="C10" s="30" t="s">
        <v>83</v>
      </c>
      <c r="D10" s="30">
        <v>15</v>
      </c>
      <c r="E10" s="20">
        <v>8</v>
      </c>
      <c r="F10" s="20" t="s">
        <v>80</v>
      </c>
      <c r="G10" s="20">
        <v>81</v>
      </c>
      <c r="H10" s="20">
        <v>78</v>
      </c>
      <c r="I10" s="20">
        <v>88</v>
      </c>
      <c r="J10" s="36" t="s">
        <v>94</v>
      </c>
    </row>
    <row r="11" spans="2:11">
      <c r="B11" s="29" t="s">
        <v>95</v>
      </c>
      <c r="C11" s="30" t="s">
        <v>76</v>
      </c>
      <c r="D11" s="30">
        <v>16</v>
      </c>
      <c r="E11" s="20">
        <v>10</v>
      </c>
      <c r="F11" s="20" t="s">
        <v>89</v>
      </c>
      <c r="G11" s="20">
        <v>84</v>
      </c>
      <c r="H11" s="20">
        <v>79</v>
      </c>
      <c r="I11" s="20">
        <v>99</v>
      </c>
      <c r="J11" s="36" t="s">
        <v>96</v>
      </c>
      <c r="K11" s="37"/>
    </row>
    <row r="12" spans="2:10">
      <c r="B12" s="29" t="s">
        <v>97</v>
      </c>
      <c r="C12" s="30" t="s">
        <v>83</v>
      </c>
      <c r="D12" s="30">
        <v>16</v>
      </c>
      <c r="E12" s="20">
        <v>10</v>
      </c>
      <c r="F12" s="20" t="s">
        <v>84</v>
      </c>
      <c r="G12" s="20">
        <v>88</v>
      </c>
      <c r="H12" s="20">
        <v>92</v>
      </c>
      <c r="I12" s="20">
        <v>96</v>
      </c>
      <c r="J12" s="36" t="s">
        <v>98</v>
      </c>
    </row>
    <row r="13" spans="2:10">
      <c r="B13" s="29" t="s">
        <v>99</v>
      </c>
      <c r="C13" s="30" t="s">
        <v>83</v>
      </c>
      <c r="D13" s="30">
        <v>16</v>
      </c>
      <c r="E13" s="20">
        <v>10</v>
      </c>
      <c r="F13" s="20" t="s">
        <v>80</v>
      </c>
      <c r="G13" s="20">
        <v>81</v>
      </c>
      <c r="H13" s="20">
        <v>80</v>
      </c>
      <c r="I13" s="20">
        <v>87</v>
      </c>
      <c r="J13" s="36" t="s">
        <v>100</v>
      </c>
    </row>
    <row r="14" spans="2:10">
      <c r="B14" s="29" t="s">
        <v>101</v>
      </c>
      <c r="C14" s="30" t="s">
        <v>83</v>
      </c>
      <c r="D14" s="30">
        <v>16</v>
      </c>
      <c r="E14" s="20">
        <v>10</v>
      </c>
      <c r="F14" s="20" t="s">
        <v>89</v>
      </c>
      <c r="G14" s="20">
        <v>70</v>
      </c>
      <c r="H14" s="20">
        <v>87</v>
      </c>
      <c r="I14" s="20">
        <v>85</v>
      </c>
      <c r="J14" s="36" t="s">
        <v>102</v>
      </c>
    </row>
    <row r="15" spans="2:10">
      <c r="B15" s="29" t="s">
        <v>103</v>
      </c>
      <c r="C15" s="30" t="s">
        <v>76</v>
      </c>
      <c r="D15" s="30">
        <v>16</v>
      </c>
      <c r="E15" s="20">
        <v>10</v>
      </c>
      <c r="F15" s="20" t="s">
        <v>89</v>
      </c>
      <c r="G15" s="20">
        <v>82</v>
      </c>
      <c r="H15" s="20">
        <v>81</v>
      </c>
      <c r="I15" s="20">
        <v>80</v>
      </c>
      <c r="J15" s="36" t="s">
        <v>104</v>
      </c>
    </row>
    <row r="16" spans="2:10">
      <c r="B16" s="29" t="s">
        <v>105</v>
      </c>
      <c r="C16" s="30" t="s">
        <v>76</v>
      </c>
      <c r="D16" s="30">
        <v>16</v>
      </c>
      <c r="E16" s="20">
        <v>10</v>
      </c>
      <c r="F16" s="20" t="s">
        <v>84</v>
      </c>
      <c r="G16" s="20">
        <v>86</v>
      </c>
      <c r="H16" s="20">
        <v>81</v>
      </c>
      <c r="I16" s="20">
        <v>77</v>
      </c>
      <c r="J16" s="36" t="s">
        <v>106</v>
      </c>
    </row>
    <row r="17" spans="2:10">
      <c r="B17" s="31" t="s">
        <v>107</v>
      </c>
      <c r="C17" s="32" t="s">
        <v>83</v>
      </c>
      <c r="D17" s="32">
        <v>17</v>
      </c>
      <c r="E17" s="33">
        <v>10</v>
      </c>
      <c r="F17" s="33" t="s">
        <v>77</v>
      </c>
      <c r="G17" s="33">
        <v>70</v>
      </c>
      <c r="H17" s="33">
        <v>90</v>
      </c>
      <c r="I17" s="33">
        <v>92</v>
      </c>
      <c r="J17" s="38" t="s">
        <v>108</v>
      </c>
    </row>
    <row r="24" spans="5:5">
      <c r="E24" s="20"/>
    </row>
  </sheetData>
  <mergeCells count="1">
    <mergeCell ref="B1:J1"/>
  </mergeCells>
  <hyperlinks>
    <hyperlink ref="J11" r:id="rId6" display="Abhimanyu@mail.com"/>
    <hyperlink ref="J4" r:id="rId7" display="Arjun@mail.com"/>
    <hyperlink ref="J10" r:id="rId8" display="Champa@mail.com"/>
    <hyperlink ref="J8" r:id="rId9" display="Gopal@mail.com"/>
    <hyperlink ref="J12" r:id="rId10" display="Gopi@mail.com"/>
    <hyperlink ref="J15" r:id="rId11" display="Hari@mail.com"/>
    <hyperlink ref="J7" r:id="rId12" display="Indu@mail.com"/>
    <hyperlink ref="J9" r:id="rId13" display="Keshav@mail.com"/>
    <hyperlink ref="J17" r:id="rId14" display="Lalitha@mail.com"/>
    <hyperlink ref="J5" r:id="rId15" display="Madhav@mail.com"/>
    <hyperlink ref="J16" r:id="rId16" display="RNM@mail.com"/>
    <hyperlink ref="J13" r:id="rId17" display="Sudevi@mail.com"/>
    <hyperlink ref="J14" r:id="rId18" display="visakha@mail.com"/>
    <hyperlink ref="J6" r:id="rId19" display="vrinda@mail.com"/>
    <hyperlink ref="B3" location="Names!B3" display="Name"/>
  </hyperlinks>
  <pageMargins left="0.7" right="0.7" top="0.75" bottom="0.75" header="0.3" footer="0.3"/>
  <headerFooter/>
  <drawing r:id="rId2"/>
  <legacy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3" sqref="A3:H6"/>
    </sheetView>
  </sheetViews>
  <sheetFormatPr defaultColWidth="9" defaultRowHeight="14.4" outlineLevelRow="5" outlineLevelCol="7"/>
  <cols>
    <col min="1" max="1" width="9" customWidth="1"/>
    <col min="2" max="2" width="9.33333333333333" customWidth="1"/>
    <col min="3" max="5" width="9" customWidth="1"/>
    <col min="6" max="6" width="11.8888888888889" customWidth="1"/>
    <col min="7" max="7" width="11.2222222222222" customWidth="1"/>
    <col min="8" max="8" width="11" customWidth="1"/>
  </cols>
  <sheetData>
    <row r="1" spans="1:1">
      <c r="A1" s="5" t="s">
        <v>109</v>
      </c>
    </row>
    <row r="3" spans="1:8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</row>
    <row r="4" spans="1:8">
      <c r="A4" t="s">
        <v>103</v>
      </c>
      <c r="B4" t="s">
        <v>76</v>
      </c>
      <c r="C4">
        <v>16</v>
      </c>
      <c r="D4">
        <v>10</v>
      </c>
      <c r="E4" t="s">
        <v>89</v>
      </c>
      <c r="F4">
        <v>82</v>
      </c>
      <c r="G4">
        <v>81</v>
      </c>
      <c r="H4">
        <v>80</v>
      </c>
    </row>
    <row r="5" spans="1:8">
      <c r="A5" t="s">
        <v>95</v>
      </c>
      <c r="B5" t="s">
        <v>76</v>
      </c>
      <c r="C5">
        <v>16</v>
      </c>
      <c r="D5">
        <v>10</v>
      </c>
      <c r="E5" t="s">
        <v>89</v>
      </c>
      <c r="F5">
        <v>84</v>
      </c>
      <c r="G5">
        <v>79</v>
      </c>
      <c r="H5">
        <v>99</v>
      </c>
    </row>
    <row r="6" spans="1:8">
      <c r="A6" t="s">
        <v>88</v>
      </c>
      <c r="B6" t="s">
        <v>76</v>
      </c>
      <c r="C6">
        <v>14</v>
      </c>
      <c r="D6">
        <v>8</v>
      </c>
      <c r="E6" t="s">
        <v>89</v>
      </c>
      <c r="F6">
        <v>70</v>
      </c>
      <c r="G6">
        <v>75</v>
      </c>
      <c r="H6">
        <v>79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1"/>
  <sheetViews>
    <sheetView zoomScale="150" zoomScaleNormal="150" topLeftCell="A3" workbookViewId="0">
      <selection activeCell="C7" sqref="C7"/>
    </sheetView>
  </sheetViews>
  <sheetFormatPr defaultColWidth="9" defaultRowHeight="14.4" outlineLevelCol="2"/>
  <cols>
    <col min="1" max="1" width="12.5555555555556" customWidth="1"/>
    <col min="2" max="2" width="9.33333333333333" customWidth="1"/>
    <col min="3" max="3" width="15.5555555555556" customWidth="1"/>
  </cols>
  <sheetData>
    <row r="3" spans="1:3">
      <c r="A3" s="21" t="s">
        <v>70</v>
      </c>
      <c r="B3" s="21" t="s">
        <v>67</v>
      </c>
      <c r="C3" s="21" t="s">
        <v>110</v>
      </c>
    </row>
    <row r="4" spans="1:3">
      <c r="A4" t="s">
        <v>84</v>
      </c>
      <c r="B4" t="s">
        <v>83</v>
      </c>
      <c r="C4" s="22">
        <v>196</v>
      </c>
    </row>
    <row r="5" spans="2:3">
      <c r="B5" t="s">
        <v>76</v>
      </c>
      <c r="C5" s="22">
        <v>173</v>
      </c>
    </row>
    <row r="6" spans="1:3">
      <c r="A6" t="s">
        <v>89</v>
      </c>
      <c r="B6" t="s">
        <v>83</v>
      </c>
      <c r="C6" s="22">
        <v>85</v>
      </c>
    </row>
    <row r="7" spans="2:3">
      <c r="B7" t="s">
        <v>76</v>
      </c>
      <c r="C7" s="23">
        <v>258</v>
      </c>
    </row>
    <row r="8" spans="1:3">
      <c r="A8" t="s">
        <v>77</v>
      </c>
      <c r="B8" t="s">
        <v>83</v>
      </c>
      <c r="C8" s="22">
        <v>181</v>
      </c>
    </row>
    <row r="9" spans="2:3">
      <c r="B9" t="s">
        <v>76</v>
      </c>
      <c r="C9" s="22">
        <v>100</v>
      </c>
    </row>
    <row r="10" spans="1:3">
      <c r="A10" t="s">
        <v>80</v>
      </c>
      <c r="B10" t="s">
        <v>83</v>
      </c>
      <c r="C10" s="22">
        <v>175</v>
      </c>
    </row>
    <row r="11" spans="2:3">
      <c r="B11" t="s">
        <v>76</v>
      </c>
      <c r="C11" s="22">
        <v>89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7"/>
  <sheetViews>
    <sheetView workbookViewId="0">
      <selection activeCell="J4" sqref="J4"/>
    </sheetView>
  </sheetViews>
  <sheetFormatPr defaultColWidth="9" defaultRowHeight="14.4"/>
  <sheetData>
    <row r="2" spans="13:14">
      <c r="M2" s="16" t="s">
        <v>111</v>
      </c>
      <c r="N2" s="17"/>
    </row>
    <row r="3" spans="2:14">
      <c r="B3" s="1" t="s">
        <v>66</v>
      </c>
      <c r="C3" s="13" t="s">
        <v>67</v>
      </c>
      <c r="D3" s="13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8" t="s">
        <v>112</v>
      </c>
      <c r="M3" s="19" t="s">
        <v>66</v>
      </c>
      <c r="N3" s="19" t="s">
        <v>113</v>
      </c>
    </row>
    <row r="4" spans="2:14">
      <c r="B4" s="7" t="s">
        <v>75</v>
      </c>
      <c r="C4" s="14" t="s">
        <v>76</v>
      </c>
      <c r="D4" s="14">
        <v>11</v>
      </c>
      <c r="E4" s="7">
        <v>5</v>
      </c>
      <c r="F4" s="7" t="s">
        <v>77</v>
      </c>
      <c r="G4" s="7">
        <v>82</v>
      </c>
      <c r="H4" s="7">
        <v>83</v>
      </c>
      <c r="I4" s="7">
        <v>100</v>
      </c>
      <c r="M4" s="20" t="s">
        <v>93</v>
      </c>
      <c r="N4" s="20">
        <f>VLOOKUP(M4,$B$3:$I$17,8,0)</f>
        <v>88</v>
      </c>
    </row>
    <row r="5" spans="2:14">
      <c r="B5" s="9" t="s">
        <v>79</v>
      </c>
      <c r="C5" s="15" t="s">
        <v>76</v>
      </c>
      <c r="D5" s="15">
        <v>12</v>
      </c>
      <c r="E5" s="9">
        <v>7</v>
      </c>
      <c r="F5" s="9" t="s">
        <v>80</v>
      </c>
      <c r="G5" s="9">
        <v>86</v>
      </c>
      <c r="H5" s="9">
        <v>92</v>
      </c>
      <c r="I5" s="9">
        <v>89</v>
      </c>
      <c r="M5" s="20" t="s">
        <v>91</v>
      </c>
      <c r="N5" s="20">
        <f t="shared" ref="N5:N8" si="0">VLOOKUP(M5,$B$3:$I$17,8,0)</f>
        <v>96</v>
      </c>
    </row>
    <row r="6" spans="2:14">
      <c r="B6" s="7" t="s">
        <v>82</v>
      </c>
      <c r="C6" s="14" t="s">
        <v>83</v>
      </c>
      <c r="D6" s="14">
        <v>14</v>
      </c>
      <c r="E6" s="7">
        <v>8</v>
      </c>
      <c r="F6" s="7" t="s">
        <v>84</v>
      </c>
      <c r="G6" s="7">
        <v>91</v>
      </c>
      <c r="H6" s="7">
        <v>96</v>
      </c>
      <c r="I6" s="7">
        <v>100</v>
      </c>
      <c r="M6" s="20" t="s">
        <v>95</v>
      </c>
      <c r="N6" s="20">
        <f t="shared" si="0"/>
        <v>99</v>
      </c>
    </row>
    <row r="7" spans="2:14">
      <c r="B7" s="9" t="s">
        <v>86</v>
      </c>
      <c r="C7" s="15" t="s">
        <v>83</v>
      </c>
      <c r="D7" s="15">
        <v>14</v>
      </c>
      <c r="E7" s="9">
        <v>8</v>
      </c>
      <c r="F7" s="9" t="s">
        <v>77</v>
      </c>
      <c r="G7" s="9">
        <v>90</v>
      </c>
      <c r="H7" s="9">
        <v>86</v>
      </c>
      <c r="I7" s="9">
        <v>89</v>
      </c>
      <c r="M7" s="20" t="s">
        <v>88</v>
      </c>
      <c r="N7" s="20">
        <f t="shared" si="0"/>
        <v>79</v>
      </c>
    </row>
    <row r="8" spans="2:14">
      <c r="B8" s="7" t="s">
        <v>88</v>
      </c>
      <c r="C8" s="14" t="s">
        <v>76</v>
      </c>
      <c r="D8" s="14">
        <v>14</v>
      </c>
      <c r="E8" s="7">
        <v>8</v>
      </c>
      <c r="F8" s="7" t="s">
        <v>89</v>
      </c>
      <c r="G8" s="7">
        <v>70</v>
      </c>
      <c r="H8" s="7">
        <v>75</v>
      </c>
      <c r="I8" s="7">
        <v>79</v>
      </c>
      <c r="M8" s="20" t="s">
        <v>114</v>
      </c>
      <c r="N8" s="20">
        <f t="shared" si="0"/>
        <v>100</v>
      </c>
    </row>
    <row r="9" spans="2:9">
      <c r="B9" s="9" t="s">
        <v>91</v>
      </c>
      <c r="C9" s="15" t="s">
        <v>76</v>
      </c>
      <c r="D9" s="15">
        <v>15</v>
      </c>
      <c r="E9" s="9">
        <v>9</v>
      </c>
      <c r="F9" s="9" t="s">
        <v>84</v>
      </c>
      <c r="G9" s="9">
        <v>87</v>
      </c>
      <c r="H9" s="9">
        <v>89</v>
      </c>
      <c r="I9" s="9">
        <v>96</v>
      </c>
    </row>
    <row r="10" spans="2:9">
      <c r="B10" s="7" t="s">
        <v>93</v>
      </c>
      <c r="C10" s="14" t="s">
        <v>83</v>
      </c>
      <c r="D10" s="14">
        <v>15</v>
      </c>
      <c r="E10" s="7">
        <v>8</v>
      </c>
      <c r="F10" s="7" t="s">
        <v>80</v>
      </c>
      <c r="G10" s="7">
        <v>81</v>
      </c>
      <c r="H10" s="7">
        <v>78</v>
      </c>
      <c r="I10" s="7">
        <v>88</v>
      </c>
    </row>
    <row r="11" spans="2:9">
      <c r="B11" s="9" t="s">
        <v>95</v>
      </c>
      <c r="C11" s="15" t="s">
        <v>76</v>
      </c>
      <c r="D11" s="15">
        <v>16</v>
      </c>
      <c r="E11" s="9">
        <v>10</v>
      </c>
      <c r="F11" s="9" t="s">
        <v>89</v>
      </c>
      <c r="G11" s="9">
        <v>84</v>
      </c>
      <c r="H11" s="9">
        <v>79</v>
      </c>
      <c r="I11" s="9">
        <v>99</v>
      </c>
    </row>
    <row r="12" spans="2:9">
      <c r="B12" s="7" t="s">
        <v>97</v>
      </c>
      <c r="C12" s="14" t="s">
        <v>83</v>
      </c>
      <c r="D12" s="14">
        <v>16</v>
      </c>
      <c r="E12" s="7">
        <v>10</v>
      </c>
      <c r="F12" s="7" t="s">
        <v>84</v>
      </c>
      <c r="G12" s="7">
        <v>88</v>
      </c>
      <c r="H12" s="7">
        <v>92</v>
      </c>
      <c r="I12" s="7">
        <v>96</v>
      </c>
    </row>
    <row r="13" spans="2:9">
      <c r="B13" s="9" t="s">
        <v>99</v>
      </c>
      <c r="C13" s="15" t="s">
        <v>83</v>
      </c>
      <c r="D13" s="15">
        <v>16</v>
      </c>
      <c r="E13" s="9">
        <v>10</v>
      </c>
      <c r="F13" s="9" t="s">
        <v>80</v>
      </c>
      <c r="G13" s="9">
        <v>81</v>
      </c>
      <c r="H13" s="9">
        <v>80</v>
      </c>
      <c r="I13" s="9">
        <v>87</v>
      </c>
    </row>
    <row r="14" spans="2:9">
      <c r="B14" s="7" t="s">
        <v>101</v>
      </c>
      <c r="C14" s="14" t="s">
        <v>83</v>
      </c>
      <c r="D14" s="14">
        <v>16</v>
      </c>
      <c r="E14" s="7">
        <v>10</v>
      </c>
      <c r="F14" s="7" t="s">
        <v>89</v>
      </c>
      <c r="G14" s="7">
        <v>70</v>
      </c>
      <c r="H14" s="7">
        <v>87</v>
      </c>
      <c r="I14" s="7">
        <v>85</v>
      </c>
    </row>
    <row r="15" spans="2:9">
      <c r="B15" s="9" t="s">
        <v>103</v>
      </c>
      <c r="C15" s="15" t="s">
        <v>76</v>
      </c>
      <c r="D15" s="15">
        <v>16</v>
      </c>
      <c r="E15" s="9">
        <v>10</v>
      </c>
      <c r="F15" s="9" t="s">
        <v>89</v>
      </c>
      <c r="G15" s="9">
        <v>82</v>
      </c>
      <c r="H15" s="9">
        <v>81</v>
      </c>
      <c r="I15" s="9">
        <v>80</v>
      </c>
    </row>
    <row r="16" spans="2:9">
      <c r="B16" s="7" t="s">
        <v>105</v>
      </c>
      <c r="C16" s="14" t="s">
        <v>76</v>
      </c>
      <c r="D16" s="14">
        <v>16</v>
      </c>
      <c r="E16" s="7">
        <v>10</v>
      </c>
      <c r="F16" s="7" t="s">
        <v>84</v>
      </c>
      <c r="G16" s="7">
        <v>86</v>
      </c>
      <c r="H16" s="7">
        <v>81</v>
      </c>
      <c r="I16" s="7">
        <v>77</v>
      </c>
    </row>
    <row r="17" spans="2:9">
      <c r="B17" s="9" t="s">
        <v>107</v>
      </c>
      <c r="C17" s="15" t="s">
        <v>83</v>
      </c>
      <c r="D17" s="15">
        <v>17</v>
      </c>
      <c r="E17" s="9">
        <v>10</v>
      </c>
      <c r="F17" s="9" t="s">
        <v>77</v>
      </c>
      <c r="G17" s="9">
        <v>70</v>
      </c>
      <c r="H17" s="9">
        <v>90</v>
      </c>
      <c r="I17" s="9">
        <v>92</v>
      </c>
    </row>
  </sheetData>
  <mergeCells count="1">
    <mergeCell ref="M2:N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7"/>
  <sheetViews>
    <sheetView workbookViewId="0">
      <selection activeCell="B3" sqref="B3"/>
    </sheetView>
  </sheetViews>
  <sheetFormatPr defaultColWidth="9" defaultRowHeight="14.4"/>
  <sheetData>
    <row r="3" spans="2:9">
      <c r="B3" s="1" t="s">
        <v>66</v>
      </c>
      <c r="D3" s="5" t="s">
        <v>115</v>
      </c>
      <c r="H3" s="5" t="s">
        <v>66</v>
      </c>
      <c r="I3" s="5" t="s">
        <v>116</v>
      </c>
    </row>
    <row r="4" spans="2:9">
      <c r="B4" s="7" t="s">
        <v>75</v>
      </c>
      <c r="D4" t="s">
        <v>117</v>
      </c>
      <c r="H4" s="7" t="s">
        <v>75</v>
      </c>
      <c r="I4" t="s">
        <v>117</v>
      </c>
    </row>
    <row r="5" spans="2:9">
      <c r="B5" s="9" t="s">
        <v>79</v>
      </c>
      <c r="D5" t="s">
        <v>118</v>
      </c>
      <c r="H5" s="9" t="s">
        <v>79</v>
      </c>
      <c r="I5" t="s">
        <v>117</v>
      </c>
    </row>
    <row r="6" spans="2:9">
      <c r="B6" s="7" t="s">
        <v>82</v>
      </c>
      <c r="D6" t="s">
        <v>119</v>
      </c>
      <c r="H6" s="7" t="s">
        <v>82</v>
      </c>
      <c r="I6" t="s">
        <v>118</v>
      </c>
    </row>
    <row r="7" spans="2:9">
      <c r="B7" s="9" t="s">
        <v>86</v>
      </c>
      <c r="H7" s="9" t="s">
        <v>86</v>
      </c>
      <c r="I7" t="s">
        <v>119</v>
      </c>
    </row>
    <row r="8" spans="2:9">
      <c r="B8" s="7" t="s">
        <v>88</v>
      </c>
      <c r="H8" s="7" t="s">
        <v>88</v>
      </c>
      <c r="I8" t="s">
        <v>118</v>
      </c>
    </row>
    <row r="9" spans="2:9">
      <c r="B9" s="9" t="s">
        <v>91</v>
      </c>
      <c r="H9" s="9" t="s">
        <v>91</v>
      </c>
      <c r="I9" t="s">
        <v>119</v>
      </c>
    </row>
    <row r="10" spans="2:2">
      <c r="B10" s="7" t="s">
        <v>93</v>
      </c>
    </row>
    <row r="11" spans="2:2">
      <c r="B11" s="9" t="s">
        <v>95</v>
      </c>
    </row>
    <row r="12" spans="2:2">
      <c r="B12" s="7" t="s">
        <v>97</v>
      </c>
    </row>
    <row r="13" spans="2:2">
      <c r="B13" s="9" t="s">
        <v>99</v>
      </c>
    </row>
    <row r="14" spans="2:2">
      <c r="B14" s="7" t="s">
        <v>101</v>
      </c>
    </row>
    <row r="15" spans="2:2">
      <c r="B15" s="9" t="s">
        <v>103</v>
      </c>
    </row>
    <row r="16" spans="2:2">
      <c r="B16" s="7" t="s">
        <v>105</v>
      </c>
    </row>
    <row r="17" spans="2:2">
      <c r="B17" s="9" t="s">
        <v>107</v>
      </c>
    </row>
  </sheetData>
  <dataValidations count="1">
    <dataValidation type="list" allowBlank="1" showInputMessage="1" showErrorMessage="1" sqref="I4:I9">
      <formula1>$D$4:$D$6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6"/>
  <sheetViews>
    <sheetView zoomScale="83" zoomScaleNormal="83" workbookViewId="0">
      <selection activeCell="I37" sqref="I37"/>
    </sheetView>
  </sheetViews>
  <sheetFormatPr defaultColWidth="9" defaultRowHeight="14.4" outlineLevelCol="2"/>
  <cols>
    <col min="3" max="3" width="10.6666666666667" customWidth="1"/>
  </cols>
  <sheetData>
    <row r="2" spans="2:3">
      <c r="B2" s="5" t="s">
        <v>66</v>
      </c>
      <c r="C2" s="6" t="s">
        <v>73</v>
      </c>
    </row>
    <row r="3" spans="2:3">
      <c r="B3" s="7" t="s">
        <v>75</v>
      </c>
      <c r="C3" s="8">
        <v>91</v>
      </c>
    </row>
    <row r="4" spans="2:3">
      <c r="B4" s="9" t="s">
        <v>79</v>
      </c>
      <c r="C4" s="10">
        <v>89</v>
      </c>
    </row>
    <row r="5" spans="2:3">
      <c r="B5" s="7" t="s">
        <v>82</v>
      </c>
      <c r="C5" s="8">
        <v>98</v>
      </c>
    </row>
    <row r="6" spans="2:3">
      <c r="B6" s="9" t="s">
        <v>86</v>
      </c>
      <c r="C6" s="10">
        <v>89</v>
      </c>
    </row>
    <row r="7" spans="2:3">
      <c r="B7" s="7" t="s">
        <v>88</v>
      </c>
      <c r="C7" s="8">
        <v>79</v>
      </c>
    </row>
    <row r="8" spans="2:3">
      <c r="B8" s="9" t="s">
        <v>91</v>
      </c>
      <c r="C8" s="10">
        <v>96</v>
      </c>
    </row>
    <row r="9" spans="2:3">
      <c r="B9" s="7" t="s">
        <v>93</v>
      </c>
      <c r="C9" s="8">
        <v>88</v>
      </c>
    </row>
    <row r="10" spans="2:3">
      <c r="B10" s="9" t="s">
        <v>95</v>
      </c>
      <c r="C10" s="10">
        <v>99</v>
      </c>
    </row>
    <row r="11" spans="2:3">
      <c r="B11" s="7" t="s">
        <v>97</v>
      </c>
      <c r="C11" s="8">
        <v>96</v>
      </c>
    </row>
    <row r="12" spans="2:3">
      <c r="B12" s="9" t="s">
        <v>99</v>
      </c>
      <c r="C12" s="10">
        <v>87</v>
      </c>
    </row>
    <row r="13" spans="2:3">
      <c r="B13" s="7" t="s">
        <v>101</v>
      </c>
      <c r="C13" s="8">
        <v>85</v>
      </c>
    </row>
    <row r="14" spans="2:3">
      <c r="B14" s="9" t="s">
        <v>103</v>
      </c>
      <c r="C14" s="10">
        <v>80</v>
      </c>
    </row>
    <row r="15" spans="2:3">
      <c r="B15" s="7" t="s">
        <v>105</v>
      </c>
      <c r="C15" s="8">
        <v>77</v>
      </c>
    </row>
    <row r="16" spans="2:3">
      <c r="B16" s="11" t="s">
        <v>107</v>
      </c>
      <c r="C16" s="12">
        <v>92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7"/>
  <sheetViews>
    <sheetView zoomScale="119" zoomScaleNormal="119" workbookViewId="0">
      <selection activeCell="D9" sqref="D9"/>
    </sheetView>
  </sheetViews>
  <sheetFormatPr defaultColWidth="9" defaultRowHeight="14.4" outlineLevelCol="2"/>
  <cols>
    <col min="2" max="2" width="19.5555555555556" customWidth="1"/>
    <col min="3" max="3" width="20.5555555555556" customWidth="1"/>
  </cols>
  <sheetData>
    <row r="3" spans="2:3">
      <c r="B3" s="1" t="s">
        <v>74</v>
      </c>
      <c r="C3" s="1" t="s">
        <v>66</v>
      </c>
    </row>
    <row r="4" spans="2:3">
      <c r="B4" s="2" t="s">
        <v>78</v>
      </c>
      <c r="C4" s="2" t="s">
        <v>75</v>
      </c>
    </row>
    <row r="5" spans="2:3">
      <c r="B5" s="3" t="s">
        <v>81</v>
      </c>
      <c r="C5" s="3" t="s">
        <v>79</v>
      </c>
    </row>
    <row r="6" spans="2:3">
      <c r="B6" s="4" t="s">
        <v>85</v>
      </c>
      <c r="C6" s="4" t="s">
        <v>82</v>
      </c>
    </row>
    <row r="7" spans="2:3">
      <c r="B7" s="3" t="s">
        <v>87</v>
      </c>
      <c r="C7" s="3" t="s">
        <v>86</v>
      </c>
    </row>
    <row r="8" spans="2:3">
      <c r="B8" s="4" t="s">
        <v>90</v>
      </c>
      <c r="C8" s="4" t="s">
        <v>88</v>
      </c>
    </row>
    <row r="9" spans="2:3">
      <c r="B9" s="3" t="s">
        <v>92</v>
      </c>
      <c r="C9" s="3" t="s">
        <v>91</v>
      </c>
    </row>
    <row r="10" spans="2:3">
      <c r="B10" s="4" t="s">
        <v>94</v>
      </c>
      <c r="C10" s="4" t="s">
        <v>93</v>
      </c>
    </row>
    <row r="11" spans="2:3">
      <c r="B11" s="3" t="s">
        <v>96</v>
      </c>
      <c r="C11" s="3" t="s">
        <v>120</v>
      </c>
    </row>
    <row r="12" spans="2:3">
      <c r="B12" s="4" t="s">
        <v>98</v>
      </c>
      <c r="C12" s="4" t="s">
        <v>97</v>
      </c>
    </row>
    <row r="13" spans="2:3">
      <c r="B13" s="3" t="s">
        <v>100</v>
      </c>
      <c r="C13" s="3" t="s">
        <v>99</v>
      </c>
    </row>
    <row r="14" spans="2:3">
      <c r="B14" s="4" t="s">
        <v>102</v>
      </c>
      <c r="C14" s="4" t="s">
        <v>101</v>
      </c>
    </row>
    <row r="15" spans="2:3">
      <c r="B15" s="3" t="s">
        <v>104</v>
      </c>
      <c r="C15" s="3" t="s">
        <v>103</v>
      </c>
    </row>
    <row r="16" spans="2:3">
      <c r="B16" s="4" t="s">
        <v>106</v>
      </c>
      <c r="C16" s="4" t="s">
        <v>105</v>
      </c>
    </row>
    <row r="17" spans="2:3">
      <c r="B17" s="3" t="s">
        <v>108</v>
      </c>
      <c r="C17" s="3" t="s">
        <v>107</v>
      </c>
    </row>
  </sheetData>
  <hyperlinks>
    <hyperlink ref="B11" r:id="rId3" display="Abhimanyu@mail.com"/>
    <hyperlink ref="B4" r:id="rId4" display="Arjun@mail.com"/>
    <hyperlink ref="B10" r:id="rId5" display="Champa@mail.com"/>
    <hyperlink ref="B8" r:id="rId6" display="Gopal@mail.com"/>
    <hyperlink ref="B12" r:id="rId7" display="Gopi@mail.com"/>
    <hyperlink ref="B15" r:id="rId8" display="Hari@mail.com"/>
    <hyperlink ref="B7" r:id="rId9" display="Indu@mail.com"/>
    <hyperlink ref="B9" r:id="rId10" display="Keshav@mail.com"/>
    <hyperlink ref="B17" r:id="rId11" display="Lalitha@mail.com"/>
    <hyperlink ref="B5" r:id="rId12" display="Madhav@mail.com"/>
    <hyperlink ref="B16" r:id="rId13" display="RNM@mail.com"/>
    <hyperlink ref="B13" r:id="rId14" display="Sudevi@mail.com"/>
    <hyperlink ref="B14" r:id="rId15" display="visakha@mail.com"/>
    <hyperlink ref="B6" r:id="rId16" display="vrinda@mail.com"/>
    <hyperlink ref="C11" r:id="rId3" display="Abhimanyu"/>
    <hyperlink ref="C4" r:id="rId4" display="Arjun"/>
    <hyperlink ref="C10" r:id="rId5" display="Champa"/>
    <hyperlink ref="C8" r:id="rId6" display="Gopal"/>
    <hyperlink ref="C12" r:id="rId7" display="Gopi"/>
    <hyperlink ref="C15" r:id="rId8" display="Hari"/>
    <hyperlink ref="C7" r:id="rId9" display="Indu"/>
    <hyperlink ref="C9" r:id="rId10" display="Keshav"/>
    <hyperlink ref="C17" r:id="rId11" display="Lalitha"/>
    <hyperlink ref="C5" r:id="rId12" display="Madhav"/>
    <hyperlink ref="C16" r:id="rId13" display="RNM"/>
    <hyperlink ref="C13" r:id="rId14" display="Sudevi"/>
    <hyperlink ref="C14" r:id="rId15" display="visakha"/>
    <hyperlink ref="C6" r:id="rId16" display="vrinda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project-1</vt:lpstr>
      <vt:lpstr>Rounding</vt:lpstr>
      <vt:lpstr>autofill</vt:lpstr>
      <vt:lpstr>Sheet4</vt:lpstr>
      <vt:lpstr>Detail1</vt:lpstr>
      <vt:lpstr>Sheet6</vt:lpstr>
      <vt:lpstr>Sheet5</vt:lpstr>
      <vt:lpstr>Names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Gouthami Vadla</dc:creator>
  <cp:lastModifiedBy>22AT1A05F7 VADLA GOUTHAMI</cp:lastModifiedBy>
  <dcterms:created xsi:type="dcterms:W3CDTF">2026-01-30T12:26:00Z</dcterms:created>
  <dcterms:modified xsi:type="dcterms:W3CDTF">2026-02-08T11:53:11Z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5F8D576470DF4F1192AAC8DA9E3C410B_12</vt:lpwstr>
  </property>
</Properties>
</file>